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PEACE\OneDrive - City University of Hong Kong - Student\1 abaqus\"/>
    </mc:Choice>
  </mc:AlternateContent>
  <xr:revisionPtr revIDLastSave="0" documentId="13_ncr:1_{9DCAD045-B96A-414B-8B39-649AC6B4CF67}" xr6:coauthVersionLast="47" xr6:coauthVersionMax="47" xr10:uidLastSave="{00000000-0000-0000-0000-000000000000}"/>
  <bookViews>
    <workbookView xWindow="-98" yWindow="-98" windowWidth="21795" windowHeight="12975" xr2:uid="{03383564-0BC7-44DB-BFD4-E38807726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1" l="1"/>
  <c r="S17" i="1"/>
  <c r="S15" i="1"/>
  <c r="P17" i="1"/>
  <c r="K16" i="1"/>
  <c r="K15" i="1"/>
  <c r="I7" i="1"/>
  <c r="G7" i="1" s="1"/>
  <c r="A11" i="1" s="1"/>
  <c r="A16" i="1"/>
  <c r="A17" i="1" s="1"/>
  <c r="M15" i="1"/>
  <c r="P15" i="1"/>
  <c r="I15" i="1"/>
  <c r="G15" i="1" s="1"/>
  <c r="A19" i="1" s="1"/>
  <c r="K5" i="1"/>
  <c r="P5" i="1" s="1"/>
  <c r="K6" i="1"/>
  <c r="P6" i="1" s="1"/>
  <c r="K7" i="1"/>
  <c r="P7" i="1" s="1"/>
  <c r="I6" i="1"/>
  <c r="G6" i="1" s="1"/>
  <c r="A10" i="1" s="1"/>
  <c r="I5" i="1"/>
  <c r="G5" i="1" s="1"/>
  <c r="A9" i="1" s="1"/>
  <c r="M6" i="1"/>
  <c r="M7" i="1"/>
  <c r="M5" i="1"/>
  <c r="M17" i="1" l="1"/>
  <c r="K17" i="1"/>
  <c r="I17" i="1"/>
  <c r="G17" i="1" s="1"/>
  <c r="A21" i="1" s="1"/>
  <c r="M16" i="1"/>
  <c r="I16" i="1"/>
  <c r="G16" i="1" s="1"/>
  <c r="A20" i="1" s="1"/>
  <c r="P16" i="1"/>
</calcChain>
</file>

<file path=xl/sharedStrings.xml><?xml version="1.0" encoding="utf-8"?>
<sst xmlns="http://schemas.openxmlformats.org/spreadsheetml/2006/main" count="80" uniqueCount="40">
  <si>
    <t>mm</t>
    <phoneticPr fontId="1" type="noConversion"/>
  </si>
  <si>
    <t>um</t>
    <phoneticPr fontId="1" type="noConversion"/>
  </si>
  <si>
    <t>m</t>
    <phoneticPr fontId="1" type="noConversion"/>
  </si>
  <si>
    <t>N</t>
    <phoneticPr fontId="1" type="noConversion"/>
  </si>
  <si>
    <t>s</t>
    <phoneticPr fontId="1" type="noConversion"/>
  </si>
  <si>
    <t>um/s2</t>
    <phoneticPr fontId="1" type="noConversion"/>
  </si>
  <si>
    <t>mm/s2</t>
    <phoneticPr fontId="1" type="noConversion"/>
  </si>
  <si>
    <t>m/s2</t>
    <phoneticPr fontId="1" type="noConversion"/>
  </si>
  <si>
    <t>J</t>
    <phoneticPr fontId="1" type="noConversion"/>
  </si>
  <si>
    <t>g</t>
    <phoneticPr fontId="1" type="noConversion"/>
  </si>
  <si>
    <t>(Pa)N/m^2</t>
    <phoneticPr fontId="1" type="noConversion"/>
  </si>
  <si>
    <t>(1e12Pa)N/um^2</t>
    <phoneticPr fontId="1" type="noConversion"/>
  </si>
  <si>
    <t>(1e6Pa)N/mm^2</t>
    <phoneticPr fontId="1" type="noConversion"/>
  </si>
  <si>
    <t>(kg)N/(m/s2)</t>
    <phoneticPr fontId="1" type="noConversion"/>
  </si>
  <si>
    <t>(1e6kg)N/(um/s2)</t>
    <phoneticPr fontId="1" type="noConversion"/>
  </si>
  <si>
    <t>(1e3kg)N/(mm/s2)</t>
    <phoneticPr fontId="1" type="noConversion"/>
  </si>
  <si>
    <t>9.81m/s2(or N/kg)</t>
    <phoneticPr fontId="1" type="noConversion"/>
  </si>
  <si>
    <r>
      <t xml:space="preserve">ABAQUS </t>
    </r>
    <r>
      <rPr>
        <sz val="11"/>
        <color theme="1"/>
        <rFont val="等线"/>
        <family val="2"/>
        <charset val="134"/>
      </rPr>
      <t>单位统一（国际）</t>
    </r>
    <phoneticPr fontId="1" type="noConversion"/>
  </si>
  <si>
    <r>
      <rPr>
        <sz val="11"/>
        <color theme="1"/>
        <rFont val="等线"/>
        <family val="2"/>
        <charset val="134"/>
      </rPr>
      <t>长度</t>
    </r>
    <phoneticPr fontId="1" type="noConversion"/>
  </si>
  <si>
    <r>
      <rPr>
        <sz val="11"/>
        <color theme="1"/>
        <rFont val="等线"/>
        <family val="2"/>
        <charset val="134"/>
      </rPr>
      <t>力</t>
    </r>
    <phoneticPr fontId="1" type="noConversion"/>
  </si>
  <si>
    <r>
      <rPr>
        <sz val="11"/>
        <color theme="1"/>
        <rFont val="等线"/>
        <family val="2"/>
        <charset val="134"/>
      </rPr>
      <t>时间</t>
    </r>
    <phoneticPr fontId="1" type="noConversion"/>
  </si>
  <si>
    <r>
      <rPr>
        <sz val="11"/>
        <color theme="1"/>
        <rFont val="等线"/>
        <family val="2"/>
        <charset val="134"/>
      </rPr>
      <t>质量</t>
    </r>
    <phoneticPr fontId="1" type="noConversion"/>
  </si>
  <si>
    <r>
      <rPr>
        <sz val="11"/>
        <color theme="1"/>
        <rFont val="等线"/>
        <family val="2"/>
        <charset val="134"/>
      </rPr>
      <t>加速度</t>
    </r>
    <phoneticPr fontId="1" type="noConversion"/>
  </si>
  <si>
    <r>
      <rPr>
        <sz val="11"/>
        <color theme="1"/>
        <rFont val="等线"/>
        <family val="2"/>
        <charset val="134"/>
      </rPr>
      <t>能量</t>
    </r>
    <phoneticPr fontId="1" type="noConversion"/>
  </si>
  <si>
    <r>
      <rPr>
        <sz val="11"/>
        <color theme="1"/>
        <rFont val="等线"/>
        <family val="2"/>
        <charset val="134"/>
      </rPr>
      <t>应力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压强</t>
    </r>
    <phoneticPr fontId="1" type="noConversion"/>
  </si>
  <si>
    <r>
      <rPr>
        <sz val="11"/>
        <color theme="1"/>
        <rFont val="等线"/>
        <family val="2"/>
        <charset val="134"/>
      </rPr>
      <t>能量释放率</t>
    </r>
    <phoneticPr fontId="1" type="noConversion"/>
  </si>
  <si>
    <t>密度</t>
    <phoneticPr fontId="1" type="noConversion"/>
  </si>
  <si>
    <t>kg/m^3</t>
    <phoneticPr fontId="1" type="noConversion"/>
  </si>
  <si>
    <t>1e3kg/mm^3</t>
    <phoneticPr fontId="1" type="noConversion"/>
  </si>
  <si>
    <t>1e6kg/um^3</t>
    <phoneticPr fontId="1" type="noConversion"/>
  </si>
  <si>
    <t>练习</t>
    <phoneticPr fontId="1" type="noConversion"/>
  </si>
  <si>
    <t>J/um^2(or N/um)</t>
    <phoneticPr fontId="1" type="noConversion"/>
  </si>
  <si>
    <t>J/mm^2(or N/mm)</t>
    <phoneticPr fontId="1" type="noConversion"/>
  </si>
  <si>
    <t>J/m^2(or N/m)</t>
    <phoneticPr fontId="1" type="noConversion"/>
  </si>
  <si>
    <t>(1e12J/m2)J/um^2(or N/um)</t>
    <phoneticPr fontId="1" type="noConversion"/>
  </si>
  <si>
    <t>1(MPa)</t>
    <phoneticPr fontId="1" type="noConversion"/>
  </si>
  <si>
    <t>1(J/m2)</t>
    <phoneticPr fontId="1" type="noConversion"/>
  </si>
  <si>
    <t>(1e6J/m2)J/mm^2(or N/mm)</t>
    <phoneticPr fontId="1" type="noConversion"/>
  </si>
  <si>
    <t>单位长度的能量释放率</t>
    <phoneticPr fontId="1" type="noConversion"/>
  </si>
  <si>
    <t>(1e12J/m3)J/um^3(or N/um)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</si>
</sst>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E+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  <charset val="134"/>
    </font>
    <font>
      <sz val="16"/>
      <color theme="1"/>
      <name val="Microsoft YaHei 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176" fontId="2" fillId="0" borderId="0" xfId="0" applyNumberFormat="1" applyFont="1">
      <alignment vertical="center"/>
    </xf>
    <xf numFmtId="176" fontId="2" fillId="2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1DC2-1F59-4305-B475-84AFD5AA4EE7}">
  <dimension ref="A1:T21"/>
  <sheetViews>
    <sheetView tabSelected="1" zoomScale="85" zoomScaleNormal="85" workbookViewId="0">
      <selection activeCell="T15" sqref="T15"/>
    </sheetView>
  </sheetViews>
  <sheetFormatPr defaultRowHeight="13.9" x14ac:dyDescent="0.4"/>
  <cols>
    <col min="2" max="2" width="12.53125" customWidth="1"/>
    <col min="4" max="4" width="3.73046875" customWidth="1"/>
    <col min="6" max="6" width="4.33203125" customWidth="1"/>
    <col min="7" max="7" width="7.53125" customWidth="1"/>
    <col min="8" max="8" width="13.9296875" customWidth="1"/>
    <col min="9" max="9" width="9" customWidth="1"/>
    <col min="10" max="10" width="6.86328125" customWidth="1"/>
    <col min="12" max="12" width="7.59765625" customWidth="1"/>
    <col min="14" max="15" width="14.53125" customWidth="1"/>
    <col min="16" max="16" width="10.19921875" customWidth="1"/>
    <col min="17" max="17" width="32" customWidth="1"/>
    <col min="20" max="20" width="15.3984375" customWidth="1"/>
  </cols>
  <sheetData>
    <row r="1" spans="1:20" ht="27.75" x14ac:dyDescent="0.4">
      <c r="A1" s="8" t="s">
        <v>17</v>
      </c>
      <c r="B1" s="8"/>
      <c r="C1" s="8"/>
      <c r="D1" s="8"/>
      <c r="E1" s="8"/>
      <c r="F1" s="8"/>
      <c r="G1" s="9"/>
      <c r="H1" s="2" t="s">
        <v>9</v>
      </c>
      <c r="I1" s="3" t="s">
        <v>16</v>
      </c>
      <c r="J1" s="2"/>
      <c r="K1" s="2"/>
      <c r="L1" s="2"/>
      <c r="M1" s="2"/>
      <c r="N1" s="2"/>
      <c r="O1" s="2"/>
      <c r="P1" s="2"/>
      <c r="Q1" s="2"/>
    </row>
    <row r="2" spans="1:20" x14ac:dyDescent="0.4">
      <c r="A2" s="8"/>
      <c r="B2" s="8"/>
      <c r="C2" s="8"/>
      <c r="D2" s="8"/>
      <c r="E2" s="8"/>
      <c r="F2" s="8"/>
      <c r="G2" s="9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0" x14ac:dyDescent="0.4">
      <c r="A3" s="8"/>
      <c r="B3" s="8"/>
      <c r="C3" s="8"/>
      <c r="D3" s="8"/>
      <c r="E3" s="8"/>
      <c r="F3" s="8"/>
      <c r="G3" s="9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0" x14ac:dyDescent="0.4">
      <c r="A4" s="8" t="s">
        <v>18</v>
      </c>
      <c r="B4" s="8"/>
      <c r="C4" s="8" t="s">
        <v>19</v>
      </c>
      <c r="D4" s="8"/>
      <c r="E4" s="8" t="s">
        <v>20</v>
      </c>
      <c r="F4" s="8"/>
      <c r="G4" s="8" t="s">
        <v>21</v>
      </c>
      <c r="H4" s="8"/>
      <c r="I4" s="8" t="s">
        <v>22</v>
      </c>
      <c r="J4" s="8"/>
      <c r="K4" s="8" t="s">
        <v>23</v>
      </c>
      <c r="L4" s="8"/>
      <c r="M4" s="8" t="s">
        <v>24</v>
      </c>
      <c r="N4" s="8"/>
      <c r="O4" s="1"/>
      <c r="P4" s="8" t="s">
        <v>25</v>
      </c>
      <c r="Q4" s="8"/>
    </row>
    <row r="5" spans="1:20" x14ac:dyDescent="0.4">
      <c r="A5" s="4">
        <v>1000000</v>
      </c>
      <c r="B5" s="2" t="s">
        <v>1</v>
      </c>
      <c r="C5" s="4">
        <v>1</v>
      </c>
      <c r="D5" s="2" t="s">
        <v>3</v>
      </c>
      <c r="E5" s="4">
        <v>1</v>
      </c>
      <c r="F5" s="2" t="s">
        <v>4</v>
      </c>
      <c r="G5" s="4">
        <f t="shared" ref="G5:G6" si="0">C5/I5</f>
        <v>9.9999999999999995E-7</v>
      </c>
      <c r="H5" s="2" t="s">
        <v>14</v>
      </c>
      <c r="I5" s="4">
        <f>A5/E5^2</f>
        <v>1000000</v>
      </c>
      <c r="J5" s="2" t="s">
        <v>5</v>
      </c>
      <c r="K5" s="4">
        <f t="shared" ref="K5:K6" si="1">C5*A5</f>
        <v>1000000</v>
      </c>
      <c r="L5" s="2" t="s">
        <v>8</v>
      </c>
      <c r="M5" s="4">
        <f>C5/A5^2</f>
        <v>9.9999999999999998E-13</v>
      </c>
      <c r="N5" s="2" t="s">
        <v>11</v>
      </c>
      <c r="O5" s="2"/>
      <c r="P5" s="4">
        <f t="shared" ref="P5:P6" si="2">K5/A5^2</f>
        <v>9.9999999999999995E-7</v>
      </c>
      <c r="Q5" s="3" t="s">
        <v>31</v>
      </c>
    </row>
    <row r="6" spans="1:20" x14ac:dyDescent="0.4">
      <c r="A6" s="4">
        <v>1000</v>
      </c>
      <c r="B6" s="2" t="s">
        <v>0</v>
      </c>
      <c r="C6" s="4">
        <v>1</v>
      </c>
      <c r="D6" s="2" t="s">
        <v>3</v>
      </c>
      <c r="E6" s="4">
        <v>1</v>
      </c>
      <c r="F6" s="2" t="s">
        <v>4</v>
      </c>
      <c r="G6" s="4">
        <f t="shared" si="0"/>
        <v>1E-3</v>
      </c>
      <c r="H6" s="2" t="s">
        <v>15</v>
      </c>
      <c r="I6" s="4">
        <f t="shared" ref="I6:I7" si="3">A6/E6^2</f>
        <v>1000</v>
      </c>
      <c r="J6" s="2" t="s">
        <v>6</v>
      </c>
      <c r="K6" s="4">
        <f t="shared" si="1"/>
        <v>1000</v>
      </c>
      <c r="L6" s="2" t="s">
        <v>8</v>
      </c>
      <c r="M6" s="4">
        <f t="shared" ref="M6:M7" si="4">C6/A6^2</f>
        <v>9.9999999999999995E-7</v>
      </c>
      <c r="N6" s="2" t="s">
        <v>12</v>
      </c>
      <c r="O6" s="2"/>
      <c r="P6" s="4">
        <f t="shared" si="2"/>
        <v>1E-3</v>
      </c>
      <c r="Q6" s="2" t="s">
        <v>32</v>
      </c>
    </row>
    <row r="7" spans="1:20" x14ac:dyDescent="0.4">
      <c r="A7" s="5">
        <v>1</v>
      </c>
      <c r="B7" s="6" t="s">
        <v>2</v>
      </c>
      <c r="C7" s="5">
        <v>1</v>
      </c>
      <c r="D7" s="6" t="s">
        <v>3</v>
      </c>
      <c r="E7" s="5">
        <v>1</v>
      </c>
      <c r="F7" s="6" t="s">
        <v>4</v>
      </c>
      <c r="G7" s="5">
        <f>C7/I7</f>
        <v>1</v>
      </c>
      <c r="H7" s="6" t="s">
        <v>13</v>
      </c>
      <c r="I7" s="5">
        <f t="shared" si="3"/>
        <v>1</v>
      </c>
      <c r="J7" s="6" t="s">
        <v>7</v>
      </c>
      <c r="K7" s="5">
        <f>C7*A7</f>
        <v>1</v>
      </c>
      <c r="L7" s="6" t="s">
        <v>8</v>
      </c>
      <c r="M7" s="5">
        <f t="shared" si="4"/>
        <v>1</v>
      </c>
      <c r="N7" s="6" t="s">
        <v>10</v>
      </c>
      <c r="O7" s="6"/>
      <c r="P7" s="5">
        <f>K7/A7^2</f>
        <v>1</v>
      </c>
      <c r="Q7" s="6" t="s">
        <v>33</v>
      </c>
    </row>
    <row r="8" spans="1:20" x14ac:dyDescent="0.4">
      <c r="A8" s="10" t="s">
        <v>26</v>
      </c>
      <c r="B8" s="10"/>
    </row>
    <row r="9" spans="1:20" x14ac:dyDescent="0.4">
      <c r="A9" s="4">
        <f>G5/A5^3</f>
        <v>9.9999999999999992E-25</v>
      </c>
      <c r="B9" s="3" t="s">
        <v>29</v>
      </c>
    </row>
    <row r="10" spans="1:20" x14ac:dyDescent="0.4">
      <c r="A10" s="4">
        <f>G6/A6^3</f>
        <v>9.9999999999999998E-13</v>
      </c>
      <c r="B10" s="3" t="s">
        <v>28</v>
      </c>
    </row>
    <row r="11" spans="1:20" x14ac:dyDescent="0.4">
      <c r="A11" s="5">
        <f>G7/A7^3</f>
        <v>1</v>
      </c>
      <c r="B11" s="7" t="s">
        <v>27</v>
      </c>
    </row>
    <row r="13" spans="1:20" ht="23.65" x14ac:dyDescent="0.4">
      <c r="A13" s="11" t="s">
        <v>30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20" x14ac:dyDescent="0.4">
      <c r="A14" s="8" t="s">
        <v>18</v>
      </c>
      <c r="B14" s="8"/>
      <c r="C14" s="8" t="s">
        <v>19</v>
      </c>
      <c r="D14" s="8"/>
      <c r="E14" s="8" t="s">
        <v>20</v>
      </c>
      <c r="F14" s="8"/>
      <c r="G14" s="8" t="s">
        <v>21</v>
      </c>
      <c r="H14" s="8"/>
      <c r="I14" s="8" t="s">
        <v>22</v>
      </c>
      <c r="J14" s="8"/>
      <c r="K14" s="8" t="s">
        <v>23</v>
      </c>
      <c r="L14" s="8"/>
      <c r="M14" s="8" t="s">
        <v>24</v>
      </c>
      <c r="N14" s="8"/>
      <c r="O14" s="1"/>
      <c r="P14" s="8" t="s">
        <v>25</v>
      </c>
      <c r="Q14" s="8"/>
      <c r="S14" t="s">
        <v>38</v>
      </c>
    </row>
    <row r="15" spans="1:20" ht="27.75" x14ac:dyDescent="0.4">
      <c r="A15" s="4">
        <v>1</v>
      </c>
      <c r="B15" s="2" t="s">
        <v>1</v>
      </c>
      <c r="C15" s="4">
        <v>9.9999999999999995E-7</v>
      </c>
      <c r="D15" s="2" t="s">
        <v>3</v>
      </c>
      <c r="E15" s="4">
        <v>1</v>
      </c>
      <c r="F15" s="2" t="s">
        <v>4</v>
      </c>
      <c r="G15" s="4">
        <f t="shared" ref="G15:G16" si="5">C15/I15</f>
        <v>9.9999999999999995E-7</v>
      </c>
      <c r="H15" s="2" t="s">
        <v>14</v>
      </c>
      <c r="I15" s="4">
        <f>A15/E15^2</f>
        <v>1</v>
      </c>
      <c r="J15" s="2" t="s">
        <v>5</v>
      </c>
      <c r="K15" s="4">
        <f>C15*A15*0.000001</f>
        <v>9.9999999999999998E-13</v>
      </c>
      <c r="L15" s="2" t="s">
        <v>8</v>
      </c>
      <c r="M15" s="4">
        <f>C15/A15^2</f>
        <v>9.9999999999999995E-7</v>
      </c>
      <c r="N15" s="2" t="s">
        <v>11</v>
      </c>
      <c r="O15" s="2" t="s">
        <v>35</v>
      </c>
      <c r="P15" s="4">
        <f t="shared" ref="P15:P16" si="6">K15/A15^2</f>
        <v>9.9999999999999998E-13</v>
      </c>
      <c r="Q15" s="3" t="s">
        <v>34</v>
      </c>
      <c r="R15" t="s">
        <v>36</v>
      </c>
      <c r="S15" s="12">
        <f>P15/A15</f>
        <v>9.9999999999999998E-13</v>
      </c>
      <c r="T15" s="3" t="s">
        <v>39</v>
      </c>
    </row>
    <row r="16" spans="1:20" x14ac:dyDescent="0.4">
      <c r="A16" s="4">
        <f>A15*0.001</f>
        <v>1E-3</v>
      </c>
      <c r="B16" s="2" t="s">
        <v>0</v>
      </c>
      <c r="C16" s="4">
        <v>1</v>
      </c>
      <c r="D16" s="2" t="s">
        <v>3</v>
      </c>
      <c r="E16" s="4">
        <v>1</v>
      </c>
      <c r="F16" s="2" t="s">
        <v>4</v>
      </c>
      <c r="G16" s="4">
        <f t="shared" si="5"/>
        <v>1000</v>
      </c>
      <c r="H16" s="2" t="s">
        <v>15</v>
      </c>
      <c r="I16" s="4">
        <f t="shared" ref="I16:I17" si="7">A16/E16^2</f>
        <v>1E-3</v>
      </c>
      <c r="J16" s="2" t="s">
        <v>6</v>
      </c>
      <c r="K16" s="4">
        <f>C16*A16*0.001</f>
        <v>9.9999999999999995E-7</v>
      </c>
      <c r="L16" s="2" t="s">
        <v>8</v>
      </c>
      <c r="M16" s="4">
        <f t="shared" ref="M16:M17" si="8">C16/A16^2</f>
        <v>1000000</v>
      </c>
      <c r="N16" s="2" t="s">
        <v>12</v>
      </c>
      <c r="O16" s="2"/>
      <c r="P16" s="4">
        <f t="shared" si="6"/>
        <v>1</v>
      </c>
      <c r="Q16" s="2" t="s">
        <v>37</v>
      </c>
      <c r="S16" s="12">
        <f t="shared" ref="S16:S17" si="9">P16/A16</f>
        <v>1000</v>
      </c>
    </row>
    <row r="17" spans="1:19" x14ac:dyDescent="0.4">
      <c r="A17" s="5">
        <f>A16*0.001</f>
        <v>9.9999999999999995E-7</v>
      </c>
      <c r="B17" s="6" t="s">
        <v>2</v>
      </c>
      <c r="C17" s="5">
        <v>1</v>
      </c>
      <c r="D17" s="6" t="s">
        <v>3</v>
      </c>
      <c r="E17" s="5">
        <v>1</v>
      </c>
      <c r="F17" s="6" t="s">
        <v>4</v>
      </c>
      <c r="G17" s="5">
        <f>C17/I17</f>
        <v>1000000</v>
      </c>
      <c r="H17" s="6" t="s">
        <v>13</v>
      </c>
      <c r="I17" s="5">
        <f t="shared" si="7"/>
        <v>9.9999999999999995E-7</v>
      </c>
      <c r="J17" s="6" t="s">
        <v>7</v>
      </c>
      <c r="K17" s="5">
        <f>C17*A17</f>
        <v>9.9999999999999995E-7</v>
      </c>
      <c r="L17" s="2" t="s">
        <v>8</v>
      </c>
      <c r="M17" s="5">
        <f t="shared" si="8"/>
        <v>1000000000000</v>
      </c>
      <c r="N17" s="6" t="s">
        <v>10</v>
      </c>
      <c r="O17" s="6"/>
      <c r="P17" s="5">
        <f>K17/A17^2</f>
        <v>1000000</v>
      </c>
      <c r="Q17" s="6" t="s">
        <v>33</v>
      </c>
      <c r="S17" s="12">
        <f t="shared" si="9"/>
        <v>1000000000000</v>
      </c>
    </row>
    <row r="18" spans="1:19" x14ac:dyDescent="0.4">
      <c r="A18" s="10" t="s">
        <v>26</v>
      </c>
      <c r="B18" s="10"/>
    </row>
    <row r="19" spans="1:19" x14ac:dyDescent="0.4">
      <c r="A19" s="4">
        <f>G15/A15^3</f>
        <v>9.9999999999999995E-7</v>
      </c>
      <c r="B19" s="3" t="s">
        <v>29</v>
      </c>
    </row>
    <row r="20" spans="1:19" x14ac:dyDescent="0.4">
      <c r="A20" s="4">
        <f>G16/A16^3</f>
        <v>999999999999.99988</v>
      </c>
      <c r="B20" s="3" t="s">
        <v>28</v>
      </c>
    </row>
    <row r="21" spans="1:19" x14ac:dyDescent="0.4">
      <c r="A21" s="5">
        <f>G17/A17^3</f>
        <v>1.0000000000000001E+24</v>
      </c>
      <c r="B21" s="7" t="s">
        <v>27</v>
      </c>
    </row>
  </sheetData>
  <mergeCells count="20">
    <mergeCell ref="K14:L14"/>
    <mergeCell ref="M14:N14"/>
    <mergeCell ref="P14:Q14"/>
    <mergeCell ref="A18:B18"/>
    <mergeCell ref="A13:Q13"/>
    <mergeCell ref="A14:B14"/>
    <mergeCell ref="C14:D14"/>
    <mergeCell ref="E14:F14"/>
    <mergeCell ref="G14:H14"/>
    <mergeCell ref="I14:J14"/>
    <mergeCell ref="K4:L4"/>
    <mergeCell ref="M4:N4"/>
    <mergeCell ref="P4:Q4"/>
    <mergeCell ref="A8:B8"/>
    <mergeCell ref="A4:B4"/>
    <mergeCell ref="A1:G3"/>
    <mergeCell ref="C4:D4"/>
    <mergeCell ref="E4:F4"/>
    <mergeCell ref="G4:H4"/>
    <mergeCell ref="I4:J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Heping</dc:creator>
  <cp:lastModifiedBy>XIA Heping</cp:lastModifiedBy>
  <dcterms:created xsi:type="dcterms:W3CDTF">2024-11-04T09:02:44Z</dcterms:created>
  <dcterms:modified xsi:type="dcterms:W3CDTF">2025-03-18T02:23:09Z</dcterms:modified>
</cp:coreProperties>
</file>